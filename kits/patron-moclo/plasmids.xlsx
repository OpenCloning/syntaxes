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anu/Documents/Projects/OpenCloning/syntaxes/kits/patron-moclo/"/>
    </mc:Choice>
  </mc:AlternateContent>
  <xr:revisionPtr revIDLastSave="0" documentId="13_ncr:9_{2D59BF33-352F-DC40-80DE-32918B0AFAA3}" xr6:coauthVersionLast="47" xr6:coauthVersionMax="47" xr10:uidLastSave="{00000000-0000-0000-0000-000000000000}"/>
  <bookViews>
    <workbookView xWindow="16560" yWindow="1000" windowWidth="27640" windowHeight="16940" xr2:uid="{24EE6CC7-E1E2-3F4F-9835-D8E378DD28B2}"/>
  </bookViews>
  <sheets>
    <sheet name="plasmids" sheetId="1" r:id="rId1"/>
    <sheet name="extra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80" i="1" l="1"/>
  <c r="C81" i="1"/>
  <c r="C82" i="1"/>
  <c r="C83" i="1"/>
  <c r="C84" i="1"/>
  <c r="C85" i="1"/>
  <c r="C86" i="1"/>
  <c r="C87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54" i="1"/>
  <c r="C55" i="1"/>
  <c r="C56" i="1"/>
  <c r="C57" i="1"/>
  <c r="C58" i="1"/>
  <c r="C59" i="1"/>
  <c r="C60" i="1"/>
  <c r="C61" i="1"/>
  <c r="C62" i="1"/>
  <c r="C63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</calcChain>
</file>

<file path=xl/sharedStrings.xml><?xml version="1.0" encoding="utf-8"?>
<sst xmlns="http://purl.oclc.org/ooxml/spreadsheetml/main" count="283" uniqueCount="194">
  <si>
    <t>addgene_id</t>
  </si>
  <si>
    <t>name</t>
  </si>
  <si>
    <t>pAGT707</t>
  </si>
  <si>
    <t>pICSL00002</t>
  </si>
  <si>
    <t>pICSL00001</t>
  </si>
  <si>
    <t>pICH71411</t>
  </si>
  <si>
    <t>pICH71431</t>
  </si>
  <si>
    <t>pICH41432</t>
  </si>
  <si>
    <t>pICH77911</t>
  </si>
  <si>
    <t>pICH77901</t>
  </si>
  <si>
    <t>pICH44300</t>
  </si>
  <si>
    <t>pICH41421</t>
  </si>
  <si>
    <t>pICH72400</t>
  </si>
  <si>
    <t>pICH41414</t>
  </si>
  <si>
    <t>pICSL70008</t>
  </si>
  <si>
    <t>pICSL70005</t>
  </si>
  <si>
    <t>pICSL70004</t>
  </si>
  <si>
    <t>pICSL70002</t>
  </si>
  <si>
    <t>pICSL80016</t>
  </si>
  <si>
    <t>pICSL80012</t>
  </si>
  <si>
    <t>pICH44022</t>
  </si>
  <si>
    <t>pICH42222</t>
  </si>
  <si>
    <t>pICH75111</t>
  </si>
  <si>
    <t>pICSL80001</t>
  </si>
  <si>
    <t>pICSL80004</t>
  </si>
  <si>
    <t>pICH49477</t>
  </si>
  <si>
    <t>pICSL80007</t>
  </si>
  <si>
    <t>pICSL80005</t>
  </si>
  <si>
    <t>pICH41531</t>
  </si>
  <si>
    <t>pICSL80014</t>
  </si>
  <si>
    <t>pICSL50006</t>
  </si>
  <si>
    <t>pICSL50015</t>
  </si>
  <si>
    <t>pICSL50011</t>
  </si>
  <si>
    <t>pICSL50004</t>
  </si>
  <si>
    <t>pICSL50016</t>
  </si>
  <si>
    <t>pICSL50008</t>
  </si>
  <si>
    <t>pICSL50014</t>
  </si>
  <si>
    <t>pICSL50013</t>
  </si>
  <si>
    <t>pICSL50012</t>
  </si>
  <si>
    <t>pICSL50010</t>
  </si>
  <si>
    <t>pICSL50009</t>
  </si>
  <si>
    <t>pICSL50007</t>
  </si>
  <si>
    <t>pICH37431</t>
  </si>
  <si>
    <t>pICSL30010</t>
  </si>
  <si>
    <t>pICSL30003</t>
  </si>
  <si>
    <t>pICSL30006</t>
  </si>
  <si>
    <t>pICSL30004</t>
  </si>
  <si>
    <t>pICSL30009</t>
  </si>
  <si>
    <t>pICSL30005</t>
  </si>
  <si>
    <t>pAGM1467</t>
  </si>
  <si>
    <t>pAGM5343</t>
  </si>
  <si>
    <t>pAGM5355</t>
  </si>
  <si>
    <t>pAGM1482</t>
  </si>
  <si>
    <t>pAGM5331</t>
  </si>
  <si>
    <t>pICH78141</t>
  </si>
  <si>
    <t>pICH78133</t>
  </si>
  <si>
    <t>pAGM1479</t>
  </si>
  <si>
    <t>pICH44179</t>
  </si>
  <si>
    <t>pICH44188</t>
  </si>
  <si>
    <t>pICH44233</t>
  </si>
  <si>
    <t>pICH44222</t>
  </si>
  <si>
    <t>pICH44199</t>
  </si>
  <si>
    <t>pICH41402</t>
  </si>
  <si>
    <t>pICH71311</t>
  </si>
  <si>
    <t>pICH71301</t>
  </si>
  <si>
    <t>pICH71292</t>
  </si>
  <si>
    <t>pICH87655</t>
  </si>
  <si>
    <t>pICH45214</t>
  </si>
  <si>
    <t>pICH45195</t>
  </si>
  <si>
    <t>pICH87644</t>
  </si>
  <si>
    <t>pICH88103</t>
  </si>
  <si>
    <t>pICH85281</t>
  </si>
  <si>
    <t>pICH87633</t>
  </si>
  <si>
    <t>pICSL12006</t>
  </si>
  <si>
    <t>pICH51288</t>
  </si>
  <si>
    <t>pICH51266</t>
  </si>
  <si>
    <t>pICSL13002</t>
  </si>
  <si>
    <t>pICSL13001</t>
  </si>
  <si>
    <t>pICH45131</t>
  </si>
  <si>
    <t>pICH45125</t>
  </si>
  <si>
    <t>pICH45173</t>
  </si>
  <si>
    <t>pICH44157</t>
  </si>
  <si>
    <t>pICH42760</t>
  </si>
  <si>
    <t>pICH50581</t>
  </si>
  <si>
    <t>pICH42211</t>
  </si>
  <si>
    <t>pICH45089</t>
  </si>
  <si>
    <t>pICH41388</t>
  </si>
  <si>
    <t>pICH41373</t>
  </si>
  <si>
    <t>promoter (1.3 kb), 35s (Cauliflower Mosaic Virus)</t>
  </si>
  <si>
    <t>promoter (0.4 kb), 35s (Cauliflower Mosaic Virus)</t>
  </si>
  <si>
    <t>promoter (double), 35s (Cauliflower Mosaic Virus)</t>
  </si>
  <si>
    <t>promoter nos (A. tumefaciens)</t>
  </si>
  <si>
    <t>promoter, act2 (AT3G18780, Arabidopsis thaliana)</t>
  </si>
  <si>
    <t>promoter, spm (Z. mays)</t>
  </si>
  <si>
    <t>promoter, RbcS2B (AT5g38420, A. thaliana)</t>
  </si>
  <si>
    <t>promoter, RbcS1B (AT5g38430, A. thaliana)</t>
  </si>
  <si>
    <t>pICH45180</t>
  </si>
  <si>
    <t>promoter, RbcS3B (AT5g38410, A. thaliana)</t>
  </si>
  <si>
    <t>promoter, LHB1B1 (AT2g34430, A. thaliana)</t>
  </si>
  <si>
    <t>promoter, LHB1B2 (AT2g34420, A. thaliana)</t>
  </si>
  <si>
    <t>pICH45152</t>
  </si>
  <si>
    <t>promoter, cab1 (AT1g29930, A. thaliana)</t>
  </si>
  <si>
    <t>pICH41551</t>
  </si>
  <si>
    <t>promoter, Stls-1 (Solanum tuberosum)</t>
  </si>
  <si>
    <t>promoter (1.3 kb) + 5'UTR, 35s (Cauliflower Mosaic Virus)</t>
  </si>
  <si>
    <t>promoter (0.4 kb ) + 5'UTR, 35s (Cauliflower Mosaic Virus)</t>
  </si>
  <si>
    <t>promoter (1.3 kb ), 35s (Cauliflower Mosaic Virus) + 5'UTR Ω (Tobacco Mosaic Virus)</t>
  </si>
  <si>
    <t>pICH51277</t>
  </si>
  <si>
    <t>promoter (0.4 kb), 35s (Cauliflower Mosaic Virus) + 5'UTR, Ω (Tobacco Mosaic Virus)</t>
  </si>
  <si>
    <t>promoter (double), 35s (Cauliflower Mosaic Virus) + 5'UTR, Ω (Tobacco Mosaic Virus)</t>
  </si>
  <si>
    <t>promoter + 5'UTR (Cassava Vein Mosaic Virus)</t>
  </si>
  <si>
    <t>promoter, nos, (Agrobacterium tumefaciens) + 5'UTR, Ω (Tobacco Mosaic Virus)</t>
  </si>
  <si>
    <t>Promoter + 5'UTR, mas, (A. tumefaciens) + 5'UTR</t>
  </si>
  <si>
    <t>Promoter + 5'UTR, ocs, (A. tumefaciens) + 5'UTR</t>
  </si>
  <si>
    <t>promoter, act2 (AT3G18780, A. thaliana) and 5'UTR, Ω (Tobacco Mosaic Virus)</t>
  </si>
  <si>
    <t>promoter + 5' UTR, RbcS2B (AT5g38420, A. thaliana)</t>
  </si>
  <si>
    <t>pICH45234</t>
  </si>
  <si>
    <t>promoter + 5' UTR, RbcS2B (AT5g38430, A. thaliana)</t>
  </si>
  <si>
    <t>pICH45244</t>
  </si>
  <si>
    <t>promoter + 5' UTR, RbcS3B (AT5g38410, A. thaliana)</t>
  </si>
  <si>
    <t>promoter + 5' UTR, LHB1B1 (AT2g34430, A. thaliana)</t>
  </si>
  <si>
    <t>promoter, cab2 (AT1g29930, A. thaliana) and 5'UTR, Ω (Tobacco Mosaic Virus)</t>
  </si>
  <si>
    <t>promoter and 5'UTR, RbcS2 (S. lycopersicum)</t>
  </si>
  <si>
    <t>promoter and 5'UTR, RbcS3A (S. lycopersicum)</t>
  </si>
  <si>
    <t>pICH71342</t>
  </si>
  <si>
    <t>promoter and 5'UTR, H4 (S. lycopersicum)</t>
  </si>
  <si>
    <t>pICH87611</t>
  </si>
  <si>
    <t>Promoter STLS (S. tuberosum), 5'UTR Ω (Tobacco Mosaic Virus)</t>
  </si>
  <si>
    <t>5'UTR, Ω (Tobacco Mosaic Virus)</t>
  </si>
  <si>
    <t>5'UTR, Ω (Potato Virus X)</t>
  </si>
  <si>
    <t>5'UTR CMV1 (Cucumber Mosaic Virus)</t>
  </si>
  <si>
    <t>5'UTR CMV2 (Cucumber Mosaic Virus)</t>
  </si>
  <si>
    <t>5'UTR BSMV (Barley Stripe Mosaic Virus)</t>
  </si>
  <si>
    <t>5' UTR, RbcS2B (AT5g38420, A. thaliana)</t>
  </si>
  <si>
    <t>5'UTR, Ω (Tobacco Mosaic Virus) + N-terminal HIS tag (6x polyhistidine)</t>
  </si>
  <si>
    <t>5'UTR, Ω (Tobacco Mosaic Virus) + chloroplast transit peptide, RbcS (synthetic)</t>
  </si>
  <si>
    <t>5'UTR, Ω (Tobacco Mosaic Virus) + signal peptide, RAmy3A (Oryza sativa)</t>
  </si>
  <si>
    <t>5'UTR, Ω (Tobacco Mosaic Virus) + nuclear localisation signal (Simian Virus40)</t>
  </si>
  <si>
    <t>5'UTR, Ω (Tobacco Mosaic Virus)  + mitochondrial localisation signal ScCoxIV (Saccharomyces cerevisiae)</t>
  </si>
  <si>
    <t>5'UTR, Ω (Tobacco Mosaic Virus) + chloroplast transit peptide, RbcS (synthetic) + HIS tag</t>
  </si>
  <si>
    <t>5'UTR, Ω (Tobacco Mosaic Virus)  + signal peptide, RAmy3A (O. sativa) + HIS tag</t>
  </si>
  <si>
    <t>5'UTR, Ω (Tobacco Mosaic Virus)  + HIS tag + enterokinase  (EK) cleavage site</t>
  </si>
  <si>
    <t>N terminal FLAG tag (3x FLAG octapeptide)</t>
  </si>
  <si>
    <t>pICSL30008</t>
  </si>
  <si>
    <t>N terminal HA tag (6x Human influenza hemagglutinin)</t>
  </si>
  <si>
    <t>N terminal Myc tag (4x Myc)</t>
  </si>
  <si>
    <t>CDS no stop codon, YFP variant of GFP (Aequorea victoria)</t>
  </si>
  <si>
    <t>CDS no stop codon, GFP (A. victoria)</t>
  </si>
  <si>
    <t>CDS, no stop codon, mCherry variant of RFP (Discosoma sp.)</t>
  </si>
  <si>
    <t>CDS no stop codon, mEOS2 photoactivatable fluorescent protein (Lobophyllia hemprichii)</t>
  </si>
  <si>
    <t>signal peptide, RAmy3A (O. sativa)</t>
  </si>
  <si>
    <t>pICH37326</t>
  </si>
  <si>
    <t>signal peptide, NbCRT (Nicotiana benthamiana)</t>
  </si>
  <si>
    <t>C terminal FLAG tag (3xFLAG octapeptide)</t>
  </si>
  <si>
    <t>C terminal HA tag (6x Human influenza hemagglutinin)</t>
  </si>
  <si>
    <t>C terminal Myc tag (4x Myc)</t>
  </si>
  <si>
    <t>C terminal V5 tag (Simian Virus 5)</t>
  </si>
  <si>
    <t>C terminal T7 tag (bacteriophage T7 gene 10)</t>
  </si>
  <si>
    <t>C terminal HBP tag (HA-PreScission-Biotin)</t>
  </si>
  <si>
    <t>CDS, GFP (A. victoria)</t>
  </si>
  <si>
    <t>CDS, variant of turboGFP codon-optimised for plants (P. plumata) with intron, U5 small nuclear ribonucleoprotein component  (A. thaliana)36</t>
  </si>
  <si>
    <t>CDS, mCherry variant of RFP (Discosoma sp.)</t>
  </si>
  <si>
    <t>CDS, EOS photoactivatable fluorescent protein (L. hemprichii)</t>
  </si>
  <si>
    <t>CDS, mNEON (Branchistoma lanceolatum)</t>
  </si>
  <si>
    <t>CDS, luciferase (Photinus pyralis)</t>
  </si>
  <si>
    <t>CDS, YFP variant of GFP (A. victoria)</t>
  </si>
  <si>
    <t>CDS, variant of turboGFP codon-optimised for plants (Pontellina plumata)</t>
  </si>
  <si>
    <t>CDS, DsRed variant of RFP (Discosoma sp.)</t>
  </si>
  <si>
    <t>CDS, plant codon-optimsed variant of turbo RFP (Entacmaea quadricolor)</t>
  </si>
  <si>
    <t>CDS, luciferase (P. pyralis)</t>
  </si>
  <si>
    <t>CDS, β-glucuronidase (E. coli) with two introns</t>
  </si>
  <si>
    <t>CDS, phosphinothricin acetyl transferase, (S. hygroscopicus)</t>
  </si>
  <si>
    <t>pICH43844</t>
  </si>
  <si>
    <t>CDS, phosphinothricin acetyl transferase, (S. hygroscopicus) with intron from ACT2 (A.thaliana)</t>
  </si>
  <si>
    <t>CDS, P19 suppressor of gene silencing (Tomato Bushy Stunt Virus)</t>
  </si>
  <si>
    <t>CDS no stop codon, β-glucuronidase (E. coli) with two introns</t>
  </si>
  <si>
    <t>BASTA resistance cassette (Act2 promoter (A. thaliana) + BirA (E.coli) + 35s terminator (Cauliflower Mosaic Virus))</t>
  </si>
  <si>
    <t>kanamycin/neomycin/paromomycin resistance cassette (Nos promoter (A. tumefaciens) + NptII (E.coli) + Ocs terminator (A. tumefaciens))</t>
  </si>
  <si>
    <t>bialaphos resistance cassette (Nos promoter (A. tumefaciens) + phosphinothricin acetyl transferase (S. hygroscopicus) + Nos terminator from (A. tumefaciens))</t>
  </si>
  <si>
    <t>pFAST-R selection cassette (monomeric tagRFP from E. quadricolor fused to the coding sequence of OLE1 (A. thaliana)</t>
  </si>
  <si>
    <t>3'UTR, polyadenylation signal/terminator, 35s (Cauliflower Mosaic Virus)</t>
  </si>
  <si>
    <t>3'UTR, polyadenylation signal/terminator, Atug7 (A. tumefaciens)</t>
  </si>
  <si>
    <t>3'UTR, polyadenylation signal/terminator, nos (A. tumefaciens)</t>
  </si>
  <si>
    <t>3'UTR, polyadenylation signal/terminator, act2 (A. thaliana)</t>
  </si>
  <si>
    <t>3'UTR, polyadenylation signal/terminator, mas (A. tumefaciens)</t>
  </si>
  <si>
    <t>3'UTR, polyadenylation signal/terminator, ags (A. tumefaciens)</t>
  </si>
  <si>
    <t>3'UTR, polyadenylation signal/terminator, ocs (A. tumefaciens)</t>
  </si>
  <si>
    <t>3'UTR, polyadenylation signal/terminator, ATPase (S. lycopersicum)</t>
  </si>
  <si>
    <t>3'UTR, polyadenylation signal/terminator, RbcS3C (S. lycopersicum)</t>
  </si>
  <si>
    <t>pICH71421</t>
  </si>
  <si>
    <t>3'UTR , polyadenylation signal/terminator, Histone H4 (S. tuberosum)</t>
  </si>
  <si>
    <t>Linker for joining modules with 3' TTCG overhangs to modules with 5' GTGG overhangs</t>
  </si>
  <si>
    <t>Linker for joining modules with 3' GTGG overhangs to modules with 5' TTCG overhangs</t>
  </si>
  <si>
    <t>content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</si>
</sst>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7426-A18B-C64E-BD99-6DB1F74CD9AE}">
  <dimension ref="A1:C87"/>
  <sheetViews>
    <sheetView tabSelected="1" workbookViewId="0">
      <selection activeCell="C10" sqref="C10"/>
    </sheetView>
  </sheetViews>
  <sheetFormatPr baseColWidth="10" defaultRowHeight="16" x14ac:dyDescent="0.2"/>
  <cols>
    <col min="2" max="2" width="28.33203125" customWidth="1"/>
    <col min="3" max="3" width="131.6640625" bestFit="1" customWidth="1"/>
  </cols>
  <sheetData>
    <row r="1" spans="1:3" x14ac:dyDescent="0.2">
      <c r="A1" t="s">
        <v>0</v>
      </c>
      <c r="B1" t="s">
        <v>1</v>
      </c>
      <c r="C1" t="s">
        <v>193</v>
      </c>
    </row>
    <row r="2" spans="1:3" x14ac:dyDescent="0.2">
      <c r="A2">
        <v>51835</v>
      </c>
      <c r="B2" t="s">
        <v>2</v>
      </c>
      <c r="C2" t="str">
        <f>VLOOKUP(B2,extra!A:B,2,FALSE)</f>
        <v>5'UTR, Ω (Tobacco Mosaic Virus)</v>
      </c>
    </row>
    <row r="3" spans="1:3" x14ac:dyDescent="0.2">
      <c r="A3">
        <v>50347</v>
      </c>
      <c r="B3" t="s">
        <v>3</v>
      </c>
      <c r="C3" t="s">
        <v>191</v>
      </c>
    </row>
    <row r="4" spans="1:3" x14ac:dyDescent="0.2">
      <c r="A4">
        <v>50346</v>
      </c>
      <c r="B4" t="s">
        <v>4</v>
      </c>
      <c r="C4" t="s">
        <v>192</v>
      </c>
    </row>
    <row r="5" spans="1:3" x14ac:dyDescent="0.2">
      <c r="A5">
        <v>50345</v>
      </c>
      <c r="B5" t="s">
        <v>5</v>
      </c>
      <c r="C5" t="str">
        <f>VLOOKUP(B5,extra!A:B,2,FALSE)</f>
        <v>3'UTR, polyadenylation signal/terminator, RbcS3C (S. lycopersicum)</v>
      </c>
    </row>
    <row r="6" spans="1:3" x14ac:dyDescent="0.2">
      <c r="A6">
        <v>50344</v>
      </c>
      <c r="B6" t="s">
        <v>6</v>
      </c>
      <c r="C6" t="str">
        <f>VLOOKUP(B6,extra!A:B,2,FALSE)</f>
        <v>3'UTR, polyadenylation signal/terminator, ATPase (S. lycopersicum)</v>
      </c>
    </row>
    <row r="7" spans="1:3" x14ac:dyDescent="0.2">
      <c r="A7">
        <v>50343</v>
      </c>
      <c r="B7" t="s">
        <v>7</v>
      </c>
      <c r="C7" t="str">
        <f>VLOOKUP(B7,extra!A:B,2,FALSE)</f>
        <v>3'UTR, polyadenylation signal/terminator, ocs (A. tumefaciens)</v>
      </c>
    </row>
    <row r="8" spans="1:3" x14ac:dyDescent="0.2">
      <c r="A8">
        <v>50342</v>
      </c>
      <c r="B8" t="s">
        <v>8</v>
      </c>
      <c r="C8" t="str">
        <f>VLOOKUP(B8,extra!A:B,2,FALSE)</f>
        <v>3'UTR, polyadenylation signal/terminator, ags (A. tumefaciens)</v>
      </c>
    </row>
    <row r="9" spans="1:3" x14ac:dyDescent="0.2">
      <c r="A9">
        <v>50341</v>
      </c>
      <c r="B9" t="s">
        <v>9</v>
      </c>
      <c r="C9" t="str">
        <f>VLOOKUP(B9,extra!A:B,2,FALSE)</f>
        <v>3'UTR, polyadenylation signal/terminator, mas (A. tumefaciens)</v>
      </c>
    </row>
    <row r="10" spans="1:3" x14ac:dyDescent="0.2">
      <c r="A10">
        <v>50340</v>
      </c>
      <c r="B10" t="s">
        <v>10</v>
      </c>
      <c r="C10" t="str">
        <f>VLOOKUP(B10,extra!A:B,2,FALSE)</f>
        <v>3'UTR, polyadenylation signal/terminator, act2 (A. thaliana)</v>
      </c>
    </row>
    <row r="11" spans="1:3" x14ac:dyDescent="0.2">
      <c r="A11">
        <v>50339</v>
      </c>
      <c r="B11" t="s">
        <v>11</v>
      </c>
      <c r="C11" t="str">
        <f>VLOOKUP(B11,extra!A:B,2,FALSE)</f>
        <v>3'UTR, polyadenylation signal/terminator, nos (A. tumefaciens)</v>
      </c>
    </row>
    <row r="12" spans="1:3" x14ac:dyDescent="0.2">
      <c r="A12">
        <v>50338</v>
      </c>
      <c r="B12" t="s">
        <v>12</v>
      </c>
      <c r="C12" t="str">
        <f>VLOOKUP(B12,extra!A:B,2,FALSE)</f>
        <v>3'UTR, polyadenylation signal/terminator, Atug7 (A. tumefaciens)</v>
      </c>
    </row>
    <row r="13" spans="1:3" x14ac:dyDescent="0.2">
      <c r="A13">
        <v>50337</v>
      </c>
      <c r="B13" t="s">
        <v>13</v>
      </c>
      <c r="C13" t="str">
        <f>VLOOKUP(B13,extra!A:B,2,FALSE)</f>
        <v>3'UTR, polyadenylation signal/terminator, 35s (Cauliflower Mosaic Virus)</v>
      </c>
    </row>
    <row r="14" spans="1:3" x14ac:dyDescent="0.2">
      <c r="A14">
        <v>50336</v>
      </c>
      <c r="B14" t="s">
        <v>14</v>
      </c>
      <c r="C14" t="str">
        <f>VLOOKUP(B14,extra!A:B,2,FALSE)</f>
        <v>pFAST-R selection cassette (monomeric tagRFP from E. quadricolor fused to the coding sequence of OLE1 (A. thaliana)</v>
      </c>
    </row>
    <row r="15" spans="1:3" x14ac:dyDescent="0.2">
      <c r="A15">
        <v>50335</v>
      </c>
      <c r="B15" t="s">
        <v>15</v>
      </c>
      <c r="C15" t="str">
        <f>VLOOKUP(B15,extra!A:B,2,FALSE)</f>
        <v>bialaphos resistance cassette (Nos promoter (A. tumefaciens) + phosphinothricin acetyl transferase (S. hygroscopicus) + Nos terminator from (A. tumefaciens))</v>
      </c>
    </row>
    <row r="16" spans="1:3" x14ac:dyDescent="0.2">
      <c r="A16">
        <v>50334</v>
      </c>
      <c r="B16" t="s">
        <v>16</v>
      </c>
      <c r="C16" t="str">
        <f>VLOOKUP(B16,extra!A:B,2,FALSE)</f>
        <v>kanamycin/neomycin/paromomycin resistance cassette (Nos promoter (A. tumefaciens) + NptII (E.coli) + Ocs terminator (A. tumefaciens))</v>
      </c>
    </row>
    <row r="17" spans="1:3" x14ac:dyDescent="0.2">
      <c r="A17">
        <v>50333</v>
      </c>
      <c r="B17" t="s">
        <v>17</v>
      </c>
      <c r="C17" t="str">
        <f>VLOOKUP(B17,extra!A:B,2,FALSE)</f>
        <v>BASTA resistance cassette (Act2 promoter (A. thaliana) + BirA (E.coli) + 35s terminator (Cauliflower Mosaic Virus))</v>
      </c>
    </row>
    <row r="18" spans="1:3" x14ac:dyDescent="0.2">
      <c r="A18">
        <v>50332</v>
      </c>
      <c r="B18" t="s">
        <v>18</v>
      </c>
      <c r="C18" t="str">
        <f>VLOOKUP(B18,extra!A:B,2,FALSE)</f>
        <v>CDS no stop codon, β-glucuronidase (E. coli) with two introns</v>
      </c>
    </row>
    <row r="19" spans="1:3" x14ac:dyDescent="0.2">
      <c r="A19">
        <v>50331</v>
      </c>
      <c r="B19" t="s">
        <v>19</v>
      </c>
      <c r="C19" t="str">
        <f>VLOOKUP(B19,extra!A:B,2,FALSE)</f>
        <v>CDS, YFP variant of GFP (A. victoria)</v>
      </c>
    </row>
    <row r="20" spans="1:3" x14ac:dyDescent="0.2">
      <c r="A20">
        <v>50330</v>
      </c>
      <c r="B20" t="s">
        <v>20</v>
      </c>
      <c r="C20" t="str">
        <f>VLOOKUP(B20,extra!A:B,2,FALSE)</f>
        <v>CDS, P19 suppressor of gene silencing (Tomato Bushy Stunt Virus)</v>
      </c>
    </row>
    <row r="21" spans="1:3" x14ac:dyDescent="0.2">
      <c r="A21">
        <v>50328</v>
      </c>
      <c r="B21" t="s">
        <v>21</v>
      </c>
      <c r="C21" t="str">
        <f>VLOOKUP(B21,extra!A:B,2,FALSE)</f>
        <v>CDS, phosphinothricin acetyl transferase, (S. hygroscopicus)</v>
      </c>
    </row>
    <row r="22" spans="1:3" x14ac:dyDescent="0.2">
      <c r="A22">
        <v>50327</v>
      </c>
      <c r="B22" t="s">
        <v>22</v>
      </c>
      <c r="C22" t="str">
        <f>VLOOKUP(B22,extra!A:B,2,FALSE)</f>
        <v>CDS, β-glucuronidase (E. coli) with two introns</v>
      </c>
    </row>
    <row r="23" spans="1:3" x14ac:dyDescent="0.2">
      <c r="A23">
        <v>50326</v>
      </c>
      <c r="B23" t="s">
        <v>23</v>
      </c>
      <c r="C23" t="str">
        <f>VLOOKUP(B23,extra!A:B,2,FALSE)</f>
        <v>CDS, luciferase (P. pyralis)</v>
      </c>
    </row>
    <row r="24" spans="1:3" x14ac:dyDescent="0.2">
      <c r="A24">
        <v>50325</v>
      </c>
      <c r="B24" t="s">
        <v>24</v>
      </c>
      <c r="C24" t="str">
        <f>VLOOKUP(B24,extra!A:B,2,FALSE)</f>
        <v>CDS, plant codon-optimsed variant of turbo RFP (Entacmaea quadricolor)</v>
      </c>
    </row>
    <row r="25" spans="1:3" x14ac:dyDescent="0.2">
      <c r="A25">
        <v>50324</v>
      </c>
      <c r="B25" t="s">
        <v>25</v>
      </c>
      <c r="C25" t="str">
        <f>VLOOKUP(B25,extra!A:B,2,FALSE)</f>
        <v>CDS, DsRed variant of RFP (Discosoma sp.)</v>
      </c>
    </row>
    <row r="26" spans="1:3" x14ac:dyDescent="0.2">
      <c r="A26">
        <v>50323</v>
      </c>
      <c r="B26" t="s">
        <v>26</v>
      </c>
      <c r="C26" t="str">
        <f>VLOOKUP(B26,extra!A:B,2,FALSE)</f>
        <v>CDS, mCherry variant of RFP (Discosoma sp.)</v>
      </c>
    </row>
    <row r="27" spans="1:3" x14ac:dyDescent="0.2">
      <c r="A27">
        <v>50322</v>
      </c>
      <c r="B27" t="s">
        <v>27</v>
      </c>
      <c r="C27" t="str">
        <f>VLOOKUP(B27,extra!A:B,2,FALSE)</f>
        <v>CDS, variant of turboGFP codon-optimised for plants (Pontellina plumata)</v>
      </c>
    </row>
    <row r="28" spans="1:3" x14ac:dyDescent="0.2">
      <c r="A28">
        <v>50321</v>
      </c>
      <c r="B28" t="s">
        <v>28</v>
      </c>
      <c r="C28" t="str">
        <f>VLOOKUP(B28,extra!A:B,2,FALSE)</f>
        <v>CDS, GFP (A. victoria)</v>
      </c>
    </row>
    <row r="29" spans="1:3" x14ac:dyDescent="0.2">
      <c r="A29">
        <v>50320</v>
      </c>
      <c r="B29" t="s">
        <v>29</v>
      </c>
      <c r="C29" t="str">
        <f>VLOOKUP(B29,extra!A:B,2,FALSE)</f>
        <v>CDS, YFP variant of GFP (A. victoria)</v>
      </c>
    </row>
    <row r="30" spans="1:3" x14ac:dyDescent="0.2">
      <c r="A30">
        <v>50319</v>
      </c>
      <c r="B30" t="s">
        <v>30</v>
      </c>
      <c r="C30" t="str">
        <f>VLOOKUP(B30,extra!A:B,2,FALSE)</f>
        <v>CDS, luciferase (Photinus pyralis)</v>
      </c>
    </row>
    <row r="31" spans="1:3" x14ac:dyDescent="0.2">
      <c r="A31">
        <v>50318</v>
      </c>
      <c r="B31" t="s">
        <v>31</v>
      </c>
      <c r="C31" t="str">
        <f>VLOOKUP(B31,extra!A:B,2,FALSE)</f>
        <v>CDS, mNEON (Branchistoma lanceolatum)</v>
      </c>
    </row>
    <row r="32" spans="1:3" x14ac:dyDescent="0.2">
      <c r="A32">
        <v>50317</v>
      </c>
      <c r="B32" t="s">
        <v>32</v>
      </c>
      <c r="C32" t="str">
        <f>VLOOKUP(B32,extra!A:B,2,FALSE)</f>
        <v>CDS, EOS photoactivatable fluorescent protein (L. hemprichii)</v>
      </c>
    </row>
    <row r="33" spans="1:3" x14ac:dyDescent="0.2">
      <c r="A33">
        <v>50316</v>
      </c>
      <c r="B33" t="s">
        <v>33</v>
      </c>
      <c r="C33" t="str">
        <f>VLOOKUP(B33,extra!A:B,2,FALSE)</f>
        <v>CDS, mCherry variant of RFP (Discosoma sp.)</v>
      </c>
    </row>
    <row r="34" spans="1:3" x14ac:dyDescent="0.2">
      <c r="A34">
        <v>50315</v>
      </c>
      <c r="B34" t="s">
        <v>34</v>
      </c>
      <c r="C34" t="str">
        <f>VLOOKUP(B34,extra!A:B,2,FALSE)</f>
        <v>CDS, variant of turboGFP codon-optimised for plants (P. plumata) with intron, U5 small nuclear ribonucleoprotein component  (A. thaliana)36</v>
      </c>
    </row>
    <row r="35" spans="1:3" x14ac:dyDescent="0.2">
      <c r="A35">
        <v>50314</v>
      </c>
      <c r="B35" t="s">
        <v>35</v>
      </c>
      <c r="C35" t="str">
        <f>VLOOKUP(B35,extra!A:B,2,FALSE)</f>
        <v>CDS, GFP (A. victoria)</v>
      </c>
    </row>
    <row r="36" spans="1:3" x14ac:dyDescent="0.2">
      <c r="A36">
        <v>50313</v>
      </c>
      <c r="B36" t="s">
        <v>36</v>
      </c>
      <c r="C36" t="str">
        <f>VLOOKUP(B36,extra!A:B,2,FALSE)</f>
        <v>C terminal HBP tag (HA-PreScission-Biotin)</v>
      </c>
    </row>
    <row r="37" spans="1:3" x14ac:dyDescent="0.2">
      <c r="A37">
        <v>50312</v>
      </c>
      <c r="B37" t="s">
        <v>37</v>
      </c>
      <c r="C37" t="str">
        <f>VLOOKUP(B37,extra!A:B,2,FALSE)</f>
        <v>C terminal T7 tag (bacteriophage T7 gene 10)</v>
      </c>
    </row>
    <row r="38" spans="1:3" x14ac:dyDescent="0.2">
      <c r="A38">
        <v>50311</v>
      </c>
      <c r="B38" t="s">
        <v>38</v>
      </c>
      <c r="C38" t="str">
        <f>VLOOKUP(B38,extra!A:B,2,FALSE)</f>
        <v>C terminal V5 tag (Simian Virus 5)</v>
      </c>
    </row>
    <row r="39" spans="1:3" x14ac:dyDescent="0.2">
      <c r="A39">
        <v>50310</v>
      </c>
      <c r="B39" t="s">
        <v>39</v>
      </c>
      <c r="C39" t="str">
        <f>VLOOKUP(B39,extra!A:B,2,FALSE)</f>
        <v>C terminal Myc tag (4x Myc)</v>
      </c>
    </row>
    <row r="40" spans="1:3" x14ac:dyDescent="0.2">
      <c r="A40">
        <v>50309</v>
      </c>
      <c r="B40" t="s">
        <v>40</v>
      </c>
      <c r="C40" t="str">
        <f>VLOOKUP(B40,extra!A:B,2,FALSE)</f>
        <v>C terminal HA tag (6x Human influenza hemagglutinin)</v>
      </c>
    </row>
    <row r="41" spans="1:3" x14ac:dyDescent="0.2">
      <c r="A41">
        <v>50308</v>
      </c>
      <c r="B41" t="s">
        <v>41</v>
      </c>
      <c r="C41" t="str">
        <f>VLOOKUP(B41,extra!A:B,2,FALSE)</f>
        <v>C terminal FLAG tag (3xFLAG octapeptide)</v>
      </c>
    </row>
    <row r="42" spans="1:3" x14ac:dyDescent="0.2">
      <c r="A42">
        <v>50306</v>
      </c>
      <c r="B42" t="s">
        <v>42</v>
      </c>
      <c r="C42" t="str">
        <f>VLOOKUP(B42,extra!A:B,2,FALSE)</f>
        <v>signal peptide, RAmy3A (O. sativa)</v>
      </c>
    </row>
    <row r="43" spans="1:3" x14ac:dyDescent="0.2">
      <c r="A43">
        <v>50305</v>
      </c>
      <c r="B43" t="s">
        <v>43</v>
      </c>
      <c r="C43" t="str">
        <f>VLOOKUP(B43,extra!A:B,2,FALSE)</f>
        <v>CDS no stop codon, mEOS2 photoactivatable fluorescent protein (Lobophyllia hemprichii)</v>
      </c>
    </row>
    <row r="44" spans="1:3" x14ac:dyDescent="0.2">
      <c r="A44">
        <v>50304</v>
      </c>
      <c r="B44" t="s">
        <v>44</v>
      </c>
      <c r="C44" t="str">
        <f>VLOOKUP(B44,extra!A:B,2,FALSE)</f>
        <v>CDS, no stop codon, mCherry variant of RFP (Discosoma sp.)</v>
      </c>
    </row>
    <row r="45" spans="1:3" x14ac:dyDescent="0.2">
      <c r="A45">
        <v>50303</v>
      </c>
      <c r="B45" t="s">
        <v>45</v>
      </c>
      <c r="C45" t="str">
        <f>VLOOKUP(B45,extra!A:B,2,FALSE)</f>
        <v>CDS no stop codon, GFP (A. victoria)</v>
      </c>
    </row>
    <row r="46" spans="1:3" x14ac:dyDescent="0.2">
      <c r="A46">
        <v>50302</v>
      </c>
      <c r="B46" t="s">
        <v>46</v>
      </c>
      <c r="C46" t="str">
        <f>VLOOKUP(B46,extra!A:B,2,FALSE)</f>
        <v>CDS no stop codon, YFP variant of GFP (Aequorea victoria)</v>
      </c>
    </row>
    <row r="47" spans="1:3" x14ac:dyDescent="0.2">
      <c r="A47">
        <v>50301</v>
      </c>
      <c r="B47" t="s">
        <v>47</v>
      </c>
      <c r="C47" t="str">
        <f>VLOOKUP(B47,extra!A:B,2,FALSE)</f>
        <v>N terminal Myc tag (4x Myc)</v>
      </c>
    </row>
    <row r="48" spans="1:3" x14ac:dyDescent="0.2">
      <c r="A48">
        <v>50299</v>
      </c>
      <c r="B48" t="s">
        <v>48</v>
      </c>
      <c r="C48" t="str">
        <f>VLOOKUP(B48,extra!A:B,2,FALSE)</f>
        <v>N terminal FLAG tag (3x FLAG octapeptide)</v>
      </c>
    </row>
    <row r="49" spans="1:3" x14ac:dyDescent="0.2">
      <c r="A49">
        <v>50298</v>
      </c>
      <c r="B49" t="s">
        <v>49</v>
      </c>
      <c r="C49" t="str">
        <f>VLOOKUP(B49,extra!A:B,2,FALSE)</f>
        <v>5'UTR, Ω (Tobacco Mosaic Virus)  + HIS tag + enterokinase  (EK) cleavage site</v>
      </c>
    </row>
    <row r="50" spans="1:3" x14ac:dyDescent="0.2">
      <c r="A50">
        <v>50297</v>
      </c>
      <c r="B50" t="s">
        <v>50</v>
      </c>
      <c r="C50" t="str">
        <f>VLOOKUP(B50,extra!A:B,2,FALSE)</f>
        <v>5'UTR, Ω (Tobacco Mosaic Virus)  + signal peptide, RAmy3A (O. sativa) + HIS tag</v>
      </c>
    </row>
    <row r="51" spans="1:3" x14ac:dyDescent="0.2">
      <c r="A51">
        <v>50296</v>
      </c>
      <c r="B51" t="s">
        <v>51</v>
      </c>
      <c r="C51" t="str">
        <f>VLOOKUP(B51,extra!A:B,2,FALSE)</f>
        <v>5'UTR, Ω (Tobacco Mosaic Virus) + chloroplast transit peptide, RbcS (synthetic) + HIS tag</v>
      </c>
    </row>
    <row r="52" spans="1:3" x14ac:dyDescent="0.2">
      <c r="A52">
        <v>50295</v>
      </c>
      <c r="B52" t="s">
        <v>52</v>
      </c>
      <c r="C52" t="str">
        <f>VLOOKUP(B52,extra!A:B,2,FALSE)</f>
        <v>5'UTR, Ω (Tobacco Mosaic Virus)  + mitochondrial localisation signal ScCoxIV (Saccharomyces cerevisiae)</v>
      </c>
    </row>
    <row r="53" spans="1:3" x14ac:dyDescent="0.2">
      <c r="A53">
        <v>50294</v>
      </c>
      <c r="B53" t="s">
        <v>53</v>
      </c>
      <c r="C53" t="str">
        <f>VLOOKUP(B53,extra!A:B,2,FALSE)</f>
        <v>5'UTR, Ω (Tobacco Mosaic Virus) + nuclear localisation signal (Simian Virus40)</v>
      </c>
    </row>
    <row r="54" spans="1:3" x14ac:dyDescent="0.2">
      <c r="A54">
        <v>50293</v>
      </c>
      <c r="B54" t="s">
        <v>54</v>
      </c>
      <c r="C54" t="str">
        <f>VLOOKUP(B54,extra!A:B,2,FALSE)</f>
        <v>5'UTR, Ω (Tobacco Mosaic Virus) + signal peptide, RAmy3A (Oryza sativa)</v>
      </c>
    </row>
    <row r="55" spans="1:3" x14ac:dyDescent="0.2">
      <c r="A55">
        <v>50292</v>
      </c>
      <c r="B55" t="s">
        <v>55</v>
      </c>
      <c r="C55" t="str">
        <f>VLOOKUP(B55,extra!A:B,2,FALSE)</f>
        <v>5'UTR, Ω (Tobacco Mosaic Virus) + chloroplast transit peptide, RbcS (synthetic)</v>
      </c>
    </row>
    <row r="56" spans="1:3" x14ac:dyDescent="0.2">
      <c r="A56">
        <v>50291</v>
      </c>
      <c r="B56" t="s">
        <v>56</v>
      </c>
      <c r="C56" t="str">
        <f>VLOOKUP(B56,extra!A:B,2,FALSE)</f>
        <v>5'UTR, Ω (Tobacco Mosaic Virus) + N-terminal HIS tag (6x polyhistidine)</v>
      </c>
    </row>
    <row r="57" spans="1:3" x14ac:dyDescent="0.2">
      <c r="A57">
        <v>50290</v>
      </c>
      <c r="B57" t="s">
        <v>57</v>
      </c>
      <c r="C57" t="str">
        <f>VLOOKUP(B57,extra!A:B,2,FALSE)</f>
        <v>5' UTR, RbcS2B (AT5g38420, A. thaliana)</v>
      </c>
    </row>
    <row r="58" spans="1:3" x14ac:dyDescent="0.2">
      <c r="A58">
        <v>50289</v>
      </c>
      <c r="B58" t="s">
        <v>58</v>
      </c>
      <c r="C58" t="str">
        <f>VLOOKUP(B58,extra!A:B,2,FALSE)</f>
        <v>5'UTR BSMV (Barley Stripe Mosaic Virus)</v>
      </c>
    </row>
    <row r="59" spans="1:3" x14ac:dyDescent="0.2">
      <c r="A59">
        <v>50288</v>
      </c>
      <c r="B59" t="s">
        <v>59</v>
      </c>
      <c r="C59" t="str">
        <f>VLOOKUP(B59,extra!A:B,2,FALSE)</f>
        <v>5'UTR CMV2 (Cucumber Mosaic Virus)</v>
      </c>
    </row>
    <row r="60" spans="1:3" x14ac:dyDescent="0.2">
      <c r="A60">
        <v>50287</v>
      </c>
      <c r="B60" t="s">
        <v>60</v>
      </c>
      <c r="C60" t="str">
        <f>VLOOKUP(B60,extra!A:B,2,FALSE)</f>
        <v>5'UTR CMV1 (Cucumber Mosaic Virus)</v>
      </c>
    </row>
    <row r="61" spans="1:3" x14ac:dyDescent="0.2">
      <c r="A61">
        <v>50286</v>
      </c>
      <c r="B61" t="s">
        <v>61</v>
      </c>
      <c r="C61" t="str">
        <f>VLOOKUP(B61,extra!A:B,2,FALSE)</f>
        <v>5'UTR, Ω (Potato Virus X)</v>
      </c>
    </row>
    <row r="62" spans="1:3" x14ac:dyDescent="0.2">
      <c r="A62">
        <v>50285</v>
      </c>
      <c r="B62" t="s">
        <v>62</v>
      </c>
      <c r="C62" t="str">
        <f>VLOOKUP(B62,extra!A:B,2,FALSE)</f>
        <v>5'UTR, Ω (Tobacco Mosaic Virus)</v>
      </c>
    </row>
    <row r="63" spans="1:3" x14ac:dyDescent="0.2">
      <c r="A63">
        <v>50282</v>
      </c>
      <c r="B63" t="s">
        <v>63</v>
      </c>
      <c r="C63" t="str">
        <f>VLOOKUP(B63,extra!A:B,2,FALSE)</f>
        <v>promoter and 5'UTR, RbcS3A (S. lycopersicum)</v>
      </c>
    </row>
    <row r="64" spans="1:3" x14ac:dyDescent="0.2">
      <c r="A64">
        <v>50281</v>
      </c>
      <c r="B64" t="s">
        <v>64</v>
      </c>
      <c r="C64" t="str">
        <f>VLOOKUP(B64,extra!A:B,2,FALSE)</f>
        <v>promoter and 5'UTR, RbcS2 (S. lycopersicum)</v>
      </c>
    </row>
    <row r="65" spans="1:3" x14ac:dyDescent="0.2">
      <c r="A65">
        <v>50280</v>
      </c>
      <c r="B65" t="s">
        <v>65</v>
      </c>
      <c r="C65" t="str">
        <f>VLOOKUP(B65,extra!A:B,2,FALSE)</f>
        <v>promoter and 5'UTR, RbcS2 (S. lycopersicum)</v>
      </c>
    </row>
    <row r="66" spans="1:3" x14ac:dyDescent="0.2">
      <c r="A66">
        <v>50279</v>
      </c>
      <c r="B66" t="s">
        <v>66</v>
      </c>
      <c r="C66" t="str">
        <f>VLOOKUP(B66,extra!A:B,2,FALSE)</f>
        <v>promoter, cab2 (AT1g29930, A. thaliana) and 5'UTR, Ω (Tobacco Mosaic Virus)</v>
      </c>
    </row>
    <row r="67" spans="1:3" x14ac:dyDescent="0.2">
      <c r="A67">
        <v>50278</v>
      </c>
      <c r="B67" t="s">
        <v>67</v>
      </c>
      <c r="C67" t="str">
        <f>VLOOKUP(B67,extra!A:B,2,FALSE)</f>
        <v>promoter + 5' UTR, LHB1B1 (AT2g34430, A. thaliana)</v>
      </c>
    </row>
    <row r="68" spans="1:3" x14ac:dyDescent="0.2">
      <c r="A68">
        <v>50275</v>
      </c>
      <c r="B68" t="s">
        <v>68</v>
      </c>
      <c r="C68" t="str">
        <f>VLOOKUP(B68,extra!A:B,2,FALSE)</f>
        <v>promoter + 5' UTR, RbcS2B (AT5g38420, A. thaliana)</v>
      </c>
    </row>
    <row r="69" spans="1:3" x14ac:dyDescent="0.2">
      <c r="A69">
        <v>50274</v>
      </c>
      <c r="B69" t="s">
        <v>69</v>
      </c>
      <c r="C69" t="str">
        <f>VLOOKUP(B69,extra!A:B,2,FALSE)</f>
        <v>promoter, act2 (AT3G18780, A. thaliana) and 5'UTR, Ω (Tobacco Mosaic Virus)</v>
      </c>
    </row>
    <row r="70" spans="1:3" x14ac:dyDescent="0.2">
      <c r="A70">
        <v>50273</v>
      </c>
      <c r="B70" t="s">
        <v>70</v>
      </c>
      <c r="C70" t="str">
        <f>VLOOKUP(B70,extra!A:B,2,FALSE)</f>
        <v>Promoter + 5'UTR, ocs, (A. tumefaciens) + 5'UTR</v>
      </c>
    </row>
    <row r="71" spans="1:3" x14ac:dyDescent="0.2">
      <c r="A71">
        <v>50272</v>
      </c>
      <c r="B71" t="s">
        <v>71</v>
      </c>
      <c r="C71" t="str">
        <f>VLOOKUP(B71,extra!A:B,2,FALSE)</f>
        <v>Promoter + 5'UTR, mas, (A. tumefaciens) + 5'UTR</v>
      </c>
    </row>
    <row r="72" spans="1:3" x14ac:dyDescent="0.2">
      <c r="A72">
        <v>50271</v>
      </c>
      <c r="B72" t="s">
        <v>72</v>
      </c>
      <c r="C72" t="str">
        <f>VLOOKUP(B72,extra!A:B,2,FALSE)</f>
        <v>promoter, nos, (Agrobacterium tumefaciens) + 5'UTR, Ω (Tobacco Mosaic Virus)</v>
      </c>
    </row>
    <row r="73" spans="1:3" x14ac:dyDescent="0.2">
      <c r="A73">
        <v>50270</v>
      </c>
      <c r="B73" t="s">
        <v>73</v>
      </c>
      <c r="C73" t="str">
        <f>VLOOKUP(B73,extra!A:B,2,FALSE)</f>
        <v>promoter + 5'UTR (Cassava Vein Mosaic Virus)</v>
      </c>
    </row>
    <row r="74" spans="1:3" x14ac:dyDescent="0.2">
      <c r="A74">
        <v>50269</v>
      </c>
      <c r="B74" t="s">
        <v>74</v>
      </c>
      <c r="C74" t="str">
        <f>VLOOKUP(B74,extra!A:B,2,FALSE)</f>
        <v>promoter (double), 35s (Cauliflower Mosaic Virus) + 5'UTR, Ω (Tobacco Mosaic Virus)</v>
      </c>
    </row>
    <row r="75" spans="1:3" x14ac:dyDescent="0.2">
      <c r="A75">
        <v>50267</v>
      </c>
      <c r="B75" t="s">
        <v>75</v>
      </c>
      <c r="C75" t="str">
        <f>VLOOKUP(B75,extra!A:B,2,FALSE)</f>
        <v>promoter (1.3 kb ), 35s (Cauliflower Mosaic Virus) + 5'UTR Ω (Tobacco Mosaic Virus)</v>
      </c>
    </row>
    <row r="76" spans="1:3" x14ac:dyDescent="0.2">
      <c r="A76">
        <v>50266</v>
      </c>
      <c r="B76" t="s">
        <v>76</v>
      </c>
      <c r="C76" t="str">
        <f>VLOOKUP(B76,extra!A:B,2,FALSE)</f>
        <v>promoter (0.4 kb ) + 5'UTR, 35s (Cauliflower Mosaic Virus)</v>
      </c>
    </row>
    <row r="77" spans="1:3" x14ac:dyDescent="0.2">
      <c r="A77">
        <v>50265</v>
      </c>
      <c r="B77" t="s">
        <v>77</v>
      </c>
      <c r="C77" t="str">
        <f>VLOOKUP(B77,extra!A:B,2,FALSE)</f>
        <v>promoter (1.3 kb) + 5'UTR, 35s (Cauliflower Mosaic Virus)</v>
      </c>
    </row>
    <row r="78" spans="1:3" x14ac:dyDescent="0.2">
      <c r="A78">
        <v>50262</v>
      </c>
      <c r="B78" t="s">
        <v>78</v>
      </c>
      <c r="C78" t="str">
        <f>VLOOKUP(B78,extra!A:B,2,FALSE)</f>
        <v>promoter, LHB1B2 (AT2g34420, A. thaliana)</v>
      </c>
    </row>
    <row r="79" spans="1:3" x14ac:dyDescent="0.2">
      <c r="A79">
        <v>50261</v>
      </c>
      <c r="B79" t="s">
        <v>79</v>
      </c>
      <c r="C79" t="str">
        <f>VLOOKUP(B79,extra!A:B,2,FALSE)</f>
        <v>promoter, LHB1B1 (AT2g34430, A. thaliana)</v>
      </c>
    </row>
    <row r="80" spans="1:3" x14ac:dyDescent="0.2">
      <c r="A80">
        <v>50259</v>
      </c>
      <c r="B80" t="s">
        <v>80</v>
      </c>
      <c r="C80" t="str">
        <f>VLOOKUP(B80,extra!A:B,2,FALSE)</f>
        <v>promoter, RbcS1B (AT5g38430, A. thaliana)</v>
      </c>
    </row>
    <row r="81" spans="1:3" x14ac:dyDescent="0.2">
      <c r="A81">
        <v>50258</v>
      </c>
      <c r="B81" t="s">
        <v>81</v>
      </c>
      <c r="C81" t="str">
        <f>VLOOKUP(B81,extra!A:B,2,FALSE)</f>
        <v>promoter, RbcS2B (AT5g38420, A. thaliana)</v>
      </c>
    </row>
    <row r="82" spans="1:3" x14ac:dyDescent="0.2">
      <c r="A82">
        <v>50257</v>
      </c>
      <c r="B82" t="s">
        <v>82</v>
      </c>
      <c r="C82" t="str">
        <f>VLOOKUP(B82,extra!A:B,2,FALSE)</f>
        <v>promoter, spm (Z. mays)</v>
      </c>
    </row>
    <row r="83" spans="1:3" x14ac:dyDescent="0.2">
      <c r="A83">
        <v>50256</v>
      </c>
      <c r="B83" t="s">
        <v>83</v>
      </c>
      <c r="C83" t="str">
        <f>VLOOKUP(B83,extra!A:B,2,FALSE)</f>
        <v>promoter, act2 (AT3G18780, Arabidopsis thaliana)</v>
      </c>
    </row>
    <row r="84" spans="1:3" x14ac:dyDescent="0.2">
      <c r="A84">
        <v>50255</v>
      </c>
      <c r="B84" t="s">
        <v>84</v>
      </c>
      <c r="C84" t="str">
        <f>VLOOKUP(B84,extra!A:B,2,FALSE)</f>
        <v>promoter nos (A. tumefaciens)</v>
      </c>
    </row>
    <row r="85" spans="1:3" x14ac:dyDescent="0.2">
      <c r="A85">
        <v>50254</v>
      </c>
      <c r="B85" t="s">
        <v>85</v>
      </c>
      <c r="C85" t="str">
        <f>VLOOKUP(B85,extra!A:B,2,FALSE)</f>
        <v>promoter (double), 35s (Cauliflower Mosaic Virus)</v>
      </c>
    </row>
    <row r="86" spans="1:3" x14ac:dyDescent="0.2">
      <c r="A86">
        <v>50253</v>
      </c>
      <c r="B86" t="s">
        <v>86</v>
      </c>
      <c r="C86" t="str">
        <f>VLOOKUP(B86,extra!A:B,2,FALSE)</f>
        <v>promoter (0.4 kb), 35s (Cauliflower Mosaic Virus)</v>
      </c>
    </row>
    <row r="87" spans="1:3" x14ac:dyDescent="0.2">
      <c r="A87">
        <v>50252</v>
      </c>
      <c r="B87" t="s">
        <v>87</v>
      </c>
      <c r="C87" t="str">
        <f>VLOOKUP(B87,extra!A:B,2,FALSE)</f>
        <v>promoter (1.3 kb), 35s (Cauliflower Mosaic Virus)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E137-07BD-9A48-A36C-D2649C3EB4DE}">
  <dimension ref="A1:B96"/>
  <sheetViews>
    <sheetView topLeftCell="A47" workbookViewId="0">
      <selection activeCell="A47" sqref="A1:B1048576"/>
    </sheetView>
  </sheetViews>
  <sheetFormatPr baseColWidth="10" defaultRowHeight="16" x14ac:dyDescent="0.2"/>
  <cols>
    <col min="1" max="1" width="37.33203125" customWidth="1"/>
    <col min="2" max="2" width="131.6640625" bestFit="1" customWidth="1"/>
  </cols>
  <sheetData>
    <row r="1" spans="1:2" x14ac:dyDescent="0.2">
      <c r="A1" t="s">
        <v>87</v>
      </c>
      <c r="B1" t="s">
        <v>88</v>
      </c>
    </row>
    <row r="2" spans="1:2" x14ac:dyDescent="0.2">
      <c r="A2" t="s">
        <v>86</v>
      </c>
      <c r="B2" t="s">
        <v>89</v>
      </c>
    </row>
    <row r="3" spans="1:2" x14ac:dyDescent="0.2">
      <c r="A3" t="s">
        <v>85</v>
      </c>
      <c r="B3" t="s">
        <v>90</v>
      </c>
    </row>
    <row r="4" spans="1:2" x14ac:dyDescent="0.2">
      <c r="A4" t="s">
        <v>84</v>
      </c>
      <c r="B4" t="s">
        <v>91</v>
      </c>
    </row>
    <row r="5" spans="1:2" x14ac:dyDescent="0.2">
      <c r="A5" t="s">
        <v>83</v>
      </c>
      <c r="B5" t="s">
        <v>92</v>
      </c>
    </row>
    <row r="6" spans="1:2" x14ac:dyDescent="0.2">
      <c r="A6" t="s">
        <v>82</v>
      </c>
      <c r="B6" t="s">
        <v>93</v>
      </c>
    </row>
    <row r="7" spans="1:2" x14ac:dyDescent="0.2">
      <c r="A7" t="s">
        <v>81</v>
      </c>
      <c r="B7" t="s">
        <v>94</v>
      </c>
    </row>
    <row r="8" spans="1:2" x14ac:dyDescent="0.2">
      <c r="A8" t="s">
        <v>80</v>
      </c>
      <c r="B8" t="s">
        <v>95</v>
      </c>
    </row>
    <row r="9" spans="1:2" x14ac:dyDescent="0.2">
      <c r="A9" t="s">
        <v>96</v>
      </c>
      <c r="B9" t="s">
        <v>97</v>
      </c>
    </row>
    <row r="10" spans="1:2" x14ac:dyDescent="0.2">
      <c r="A10" t="s">
        <v>79</v>
      </c>
      <c r="B10" t="s">
        <v>98</v>
      </c>
    </row>
    <row r="11" spans="1:2" x14ac:dyDescent="0.2">
      <c r="A11" t="s">
        <v>78</v>
      </c>
      <c r="B11" t="s">
        <v>99</v>
      </c>
    </row>
    <row r="12" spans="1:2" x14ac:dyDescent="0.2">
      <c r="A12" t="s">
        <v>100</v>
      </c>
      <c r="B12" t="s">
        <v>101</v>
      </c>
    </row>
    <row r="13" spans="1:2" x14ac:dyDescent="0.2">
      <c r="A13" t="s">
        <v>102</v>
      </c>
      <c r="B13" t="s">
        <v>103</v>
      </c>
    </row>
    <row r="14" spans="1:2" x14ac:dyDescent="0.2">
      <c r="A14" t="s">
        <v>77</v>
      </c>
      <c r="B14" t="s">
        <v>104</v>
      </c>
    </row>
    <row r="15" spans="1:2" x14ac:dyDescent="0.2">
      <c r="A15" t="s">
        <v>76</v>
      </c>
      <c r="B15" t="s">
        <v>105</v>
      </c>
    </row>
    <row r="16" spans="1:2" x14ac:dyDescent="0.2">
      <c r="A16" t="s">
        <v>75</v>
      </c>
      <c r="B16" t="s">
        <v>106</v>
      </c>
    </row>
    <row r="17" spans="1:2" x14ac:dyDescent="0.2">
      <c r="A17" t="s">
        <v>107</v>
      </c>
      <c r="B17" t="s">
        <v>108</v>
      </c>
    </row>
    <row r="18" spans="1:2" x14ac:dyDescent="0.2">
      <c r="A18" t="s">
        <v>74</v>
      </c>
      <c r="B18" t="s">
        <v>109</v>
      </c>
    </row>
    <row r="19" spans="1:2" x14ac:dyDescent="0.2">
      <c r="A19" t="s">
        <v>73</v>
      </c>
      <c r="B19" t="s">
        <v>110</v>
      </c>
    </row>
    <row r="20" spans="1:2" x14ac:dyDescent="0.2">
      <c r="A20" t="s">
        <v>72</v>
      </c>
      <c r="B20" t="s">
        <v>111</v>
      </c>
    </row>
    <row r="21" spans="1:2" x14ac:dyDescent="0.2">
      <c r="A21" t="s">
        <v>71</v>
      </c>
      <c r="B21" t="s">
        <v>112</v>
      </c>
    </row>
    <row r="22" spans="1:2" x14ac:dyDescent="0.2">
      <c r="A22" t="s">
        <v>70</v>
      </c>
      <c r="B22" t="s">
        <v>113</v>
      </c>
    </row>
    <row r="23" spans="1:2" x14ac:dyDescent="0.2">
      <c r="A23" t="s">
        <v>69</v>
      </c>
      <c r="B23" t="s">
        <v>114</v>
      </c>
    </row>
    <row r="24" spans="1:2" x14ac:dyDescent="0.2">
      <c r="A24" t="s">
        <v>68</v>
      </c>
      <c r="B24" t="s">
        <v>115</v>
      </c>
    </row>
    <row r="25" spans="1:2" x14ac:dyDescent="0.2">
      <c r="A25" t="s">
        <v>116</v>
      </c>
      <c r="B25" t="s">
        <v>117</v>
      </c>
    </row>
    <row r="26" spans="1:2" x14ac:dyDescent="0.2">
      <c r="A26" t="s">
        <v>118</v>
      </c>
      <c r="B26" t="s">
        <v>119</v>
      </c>
    </row>
    <row r="27" spans="1:2" x14ac:dyDescent="0.2">
      <c r="A27" t="s">
        <v>67</v>
      </c>
      <c r="B27" t="s">
        <v>120</v>
      </c>
    </row>
    <row r="28" spans="1:2" x14ac:dyDescent="0.2">
      <c r="A28" t="s">
        <v>66</v>
      </c>
      <c r="B28" t="s">
        <v>121</v>
      </c>
    </row>
    <row r="29" spans="1:2" x14ac:dyDescent="0.2">
      <c r="A29" t="s">
        <v>65</v>
      </c>
      <c r="B29" t="s">
        <v>122</v>
      </c>
    </row>
    <row r="30" spans="1:2" x14ac:dyDescent="0.2">
      <c r="A30" t="s">
        <v>64</v>
      </c>
      <c r="B30" t="s">
        <v>122</v>
      </c>
    </row>
    <row r="31" spans="1:2" x14ac:dyDescent="0.2">
      <c r="A31" t="s">
        <v>63</v>
      </c>
      <c r="B31" t="s">
        <v>123</v>
      </c>
    </row>
    <row r="32" spans="1:2" x14ac:dyDescent="0.2">
      <c r="A32" t="s">
        <v>124</v>
      </c>
      <c r="B32" t="s">
        <v>125</v>
      </c>
    </row>
    <row r="33" spans="1:2" x14ac:dyDescent="0.2">
      <c r="A33" t="s">
        <v>126</v>
      </c>
      <c r="B33" t="s">
        <v>127</v>
      </c>
    </row>
    <row r="34" spans="1:2" x14ac:dyDescent="0.2">
      <c r="A34" t="s">
        <v>62</v>
      </c>
      <c r="B34" t="s">
        <v>128</v>
      </c>
    </row>
    <row r="35" spans="1:2" x14ac:dyDescent="0.2">
      <c r="A35" t="s">
        <v>61</v>
      </c>
      <c r="B35" t="s">
        <v>129</v>
      </c>
    </row>
    <row r="36" spans="1:2" x14ac:dyDescent="0.2">
      <c r="A36" t="s">
        <v>60</v>
      </c>
      <c r="B36" t="s">
        <v>130</v>
      </c>
    </row>
    <row r="37" spans="1:2" x14ac:dyDescent="0.2">
      <c r="A37" t="s">
        <v>59</v>
      </c>
      <c r="B37" t="s">
        <v>131</v>
      </c>
    </row>
    <row r="38" spans="1:2" x14ac:dyDescent="0.2">
      <c r="A38" t="s">
        <v>58</v>
      </c>
      <c r="B38" t="s">
        <v>132</v>
      </c>
    </row>
    <row r="39" spans="1:2" x14ac:dyDescent="0.2">
      <c r="A39" t="s">
        <v>57</v>
      </c>
      <c r="B39" t="s">
        <v>133</v>
      </c>
    </row>
    <row r="40" spans="1:2" x14ac:dyDescent="0.2">
      <c r="A40" t="s">
        <v>56</v>
      </c>
      <c r="B40" t="s">
        <v>134</v>
      </c>
    </row>
    <row r="41" spans="1:2" x14ac:dyDescent="0.2">
      <c r="A41" t="s">
        <v>55</v>
      </c>
      <c r="B41" t="s">
        <v>135</v>
      </c>
    </row>
    <row r="42" spans="1:2" x14ac:dyDescent="0.2">
      <c r="A42" t="s">
        <v>54</v>
      </c>
      <c r="B42" t="s">
        <v>136</v>
      </c>
    </row>
    <row r="43" spans="1:2" x14ac:dyDescent="0.2">
      <c r="A43" t="s">
        <v>53</v>
      </c>
      <c r="B43" t="s">
        <v>137</v>
      </c>
    </row>
    <row r="44" spans="1:2" x14ac:dyDescent="0.2">
      <c r="A44" t="s">
        <v>52</v>
      </c>
      <c r="B44" t="s">
        <v>138</v>
      </c>
    </row>
    <row r="45" spans="1:2" x14ac:dyDescent="0.2">
      <c r="A45" t="s">
        <v>51</v>
      </c>
      <c r="B45" t="s">
        <v>139</v>
      </c>
    </row>
    <row r="46" spans="1:2" x14ac:dyDescent="0.2">
      <c r="A46" t="s">
        <v>50</v>
      </c>
      <c r="B46" t="s">
        <v>140</v>
      </c>
    </row>
    <row r="47" spans="1:2" x14ac:dyDescent="0.2">
      <c r="A47" t="s">
        <v>49</v>
      </c>
      <c r="B47" t="s">
        <v>141</v>
      </c>
    </row>
    <row r="48" spans="1:2" x14ac:dyDescent="0.2">
      <c r="A48" t="s">
        <v>48</v>
      </c>
      <c r="B48" t="s">
        <v>142</v>
      </c>
    </row>
    <row r="49" spans="1:2" x14ac:dyDescent="0.2">
      <c r="A49" t="s">
        <v>143</v>
      </c>
      <c r="B49" t="s">
        <v>144</v>
      </c>
    </row>
    <row r="50" spans="1:2" x14ac:dyDescent="0.2">
      <c r="A50" t="s">
        <v>47</v>
      </c>
      <c r="B50" t="s">
        <v>145</v>
      </c>
    </row>
    <row r="51" spans="1:2" x14ac:dyDescent="0.2">
      <c r="A51" t="s">
        <v>46</v>
      </c>
      <c r="B51" t="s">
        <v>146</v>
      </c>
    </row>
    <row r="52" spans="1:2" x14ac:dyDescent="0.2">
      <c r="A52" t="s">
        <v>45</v>
      </c>
      <c r="B52" t="s">
        <v>147</v>
      </c>
    </row>
    <row r="53" spans="1:2" x14ac:dyDescent="0.2">
      <c r="A53" t="s">
        <v>44</v>
      </c>
      <c r="B53" t="s">
        <v>148</v>
      </c>
    </row>
    <row r="54" spans="1:2" x14ac:dyDescent="0.2">
      <c r="A54" t="s">
        <v>43</v>
      </c>
      <c r="B54" t="s">
        <v>149</v>
      </c>
    </row>
    <row r="55" spans="1:2" x14ac:dyDescent="0.2">
      <c r="A55" t="s">
        <v>42</v>
      </c>
      <c r="B55" t="s">
        <v>150</v>
      </c>
    </row>
    <row r="56" spans="1:2" x14ac:dyDescent="0.2">
      <c r="A56" t="s">
        <v>151</v>
      </c>
      <c r="B56" t="s">
        <v>152</v>
      </c>
    </row>
    <row r="57" spans="1:2" x14ac:dyDescent="0.2">
      <c r="A57" t="s">
        <v>41</v>
      </c>
      <c r="B57" t="s">
        <v>153</v>
      </c>
    </row>
    <row r="58" spans="1:2" x14ac:dyDescent="0.2">
      <c r="A58" t="s">
        <v>40</v>
      </c>
      <c r="B58" t="s">
        <v>154</v>
      </c>
    </row>
    <row r="59" spans="1:2" x14ac:dyDescent="0.2">
      <c r="A59" t="s">
        <v>39</v>
      </c>
      <c r="B59" t="s">
        <v>155</v>
      </c>
    </row>
    <row r="60" spans="1:2" x14ac:dyDescent="0.2">
      <c r="A60" t="s">
        <v>38</v>
      </c>
      <c r="B60" t="s">
        <v>156</v>
      </c>
    </row>
    <row r="61" spans="1:2" x14ac:dyDescent="0.2">
      <c r="A61" t="s">
        <v>37</v>
      </c>
      <c r="B61" t="s">
        <v>157</v>
      </c>
    </row>
    <row r="62" spans="1:2" x14ac:dyDescent="0.2">
      <c r="A62" t="s">
        <v>36</v>
      </c>
      <c r="B62" t="s">
        <v>158</v>
      </c>
    </row>
    <row r="63" spans="1:2" x14ac:dyDescent="0.2">
      <c r="A63" t="s">
        <v>35</v>
      </c>
      <c r="B63" t="s">
        <v>159</v>
      </c>
    </row>
    <row r="64" spans="1:2" x14ac:dyDescent="0.2">
      <c r="A64" t="s">
        <v>34</v>
      </c>
      <c r="B64" t="s">
        <v>160</v>
      </c>
    </row>
    <row r="65" spans="1:2" x14ac:dyDescent="0.2">
      <c r="A65" t="s">
        <v>33</v>
      </c>
      <c r="B65" t="s">
        <v>161</v>
      </c>
    </row>
    <row r="66" spans="1:2" x14ac:dyDescent="0.2">
      <c r="A66" t="s">
        <v>32</v>
      </c>
      <c r="B66" t="s">
        <v>162</v>
      </c>
    </row>
    <row r="67" spans="1:2" x14ac:dyDescent="0.2">
      <c r="A67" t="s">
        <v>31</v>
      </c>
      <c r="B67" t="s">
        <v>163</v>
      </c>
    </row>
    <row r="68" spans="1:2" x14ac:dyDescent="0.2">
      <c r="A68" t="s">
        <v>30</v>
      </c>
      <c r="B68" t="s">
        <v>164</v>
      </c>
    </row>
    <row r="69" spans="1:2" x14ac:dyDescent="0.2">
      <c r="A69" t="s">
        <v>29</v>
      </c>
      <c r="B69" t="s">
        <v>165</v>
      </c>
    </row>
    <row r="70" spans="1:2" x14ac:dyDescent="0.2">
      <c r="A70" t="s">
        <v>28</v>
      </c>
      <c r="B70" t="s">
        <v>159</v>
      </c>
    </row>
    <row r="71" spans="1:2" x14ac:dyDescent="0.2">
      <c r="A71" t="s">
        <v>27</v>
      </c>
      <c r="B71" t="s">
        <v>166</v>
      </c>
    </row>
    <row r="72" spans="1:2" x14ac:dyDescent="0.2">
      <c r="A72" t="s">
        <v>26</v>
      </c>
      <c r="B72" t="s">
        <v>161</v>
      </c>
    </row>
    <row r="73" spans="1:2" x14ac:dyDescent="0.2">
      <c r="A73" t="s">
        <v>25</v>
      </c>
      <c r="B73" t="s">
        <v>167</v>
      </c>
    </row>
    <row r="74" spans="1:2" x14ac:dyDescent="0.2">
      <c r="A74" t="s">
        <v>24</v>
      </c>
      <c r="B74" t="s">
        <v>168</v>
      </c>
    </row>
    <row r="75" spans="1:2" x14ac:dyDescent="0.2">
      <c r="A75" t="s">
        <v>23</v>
      </c>
      <c r="B75" t="s">
        <v>169</v>
      </c>
    </row>
    <row r="76" spans="1:2" x14ac:dyDescent="0.2">
      <c r="A76" t="s">
        <v>22</v>
      </c>
      <c r="B76" t="s">
        <v>170</v>
      </c>
    </row>
    <row r="77" spans="1:2" x14ac:dyDescent="0.2">
      <c r="A77" t="s">
        <v>21</v>
      </c>
      <c r="B77" t="s">
        <v>171</v>
      </c>
    </row>
    <row r="78" spans="1:2" x14ac:dyDescent="0.2">
      <c r="A78" t="s">
        <v>172</v>
      </c>
      <c r="B78" t="s">
        <v>173</v>
      </c>
    </row>
    <row r="79" spans="1:2" x14ac:dyDescent="0.2">
      <c r="A79" t="s">
        <v>20</v>
      </c>
      <c r="B79" t="s">
        <v>174</v>
      </c>
    </row>
    <row r="80" spans="1:2" x14ac:dyDescent="0.2">
      <c r="A80" t="s">
        <v>19</v>
      </c>
      <c r="B80" t="s">
        <v>165</v>
      </c>
    </row>
    <row r="81" spans="1:2" x14ac:dyDescent="0.2">
      <c r="A81" t="s">
        <v>18</v>
      </c>
      <c r="B81" t="s">
        <v>175</v>
      </c>
    </row>
    <row r="82" spans="1:2" x14ac:dyDescent="0.2">
      <c r="A82" t="s">
        <v>17</v>
      </c>
      <c r="B82" t="s">
        <v>176</v>
      </c>
    </row>
    <row r="83" spans="1:2" x14ac:dyDescent="0.2">
      <c r="A83" t="s">
        <v>16</v>
      </c>
      <c r="B83" t="s">
        <v>177</v>
      </c>
    </row>
    <row r="84" spans="1:2" x14ac:dyDescent="0.2">
      <c r="A84" t="s">
        <v>15</v>
      </c>
      <c r="B84" t="s">
        <v>178</v>
      </c>
    </row>
    <row r="85" spans="1:2" x14ac:dyDescent="0.2">
      <c r="A85" t="s">
        <v>14</v>
      </c>
      <c r="B85" t="s">
        <v>179</v>
      </c>
    </row>
    <row r="86" spans="1:2" x14ac:dyDescent="0.2">
      <c r="A86" t="s">
        <v>13</v>
      </c>
      <c r="B86" t="s">
        <v>180</v>
      </c>
    </row>
    <row r="87" spans="1:2" x14ac:dyDescent="0.2">
      <c r="A87" t="s">
        <v>12</v>
      </c>
      <c r="B87" t="s">
        <v>181</v>
      </c>
    </row>
    <row r="88" spans="1:2" x14ac:dyDescent="0.2">
      <c r="A88" t="s">
        <v>11</v>
      </c>
      <c r="B88" t="s">
        <v>182</v>
      </c>
    </row>
    <row r="89" spans="1:2" x14ac:dyDescent="0.2">
      <c r="A89" t="s">
        <v>10</v>
      </c>
      <c r="B89" t="s">
        <v>183</v>
      </c>
    </row>
    <row r="90" spans="1:2" x14ac:dyDescent="0.2">
      <c r="A90" t="s">
        <v>9</v>
      </c>
      <c r="B90" t="s">
        <v>184</v>
      </c>
    </row>
    <row r="91" spans="1:2" x14ac:dyDescent="0.2">
      <c r="A91" t="s">
        <v>8</v>
      </c>
      <c r="B91" t="s">
        <v>185</v>
      </c>
    </row>
    <row r="92" spans="1:2" x14ac:dyDescent="0.2">
      <c r="A92" t="s">
        <v>7</v>
      </c>
      <c r="B92" t="s">
        <v>186</v>
      </c>
    </row>
    <row r="93" spans="1:2" x14ac:dyDescent="0.2">
      <c r="A93" t="s">
        <v>6</v>
      </c>
      <c r="B93" t="s">
        <v>187</v>
      </c>
    </row>
    <row r="94" spans="1:2" x14ac:dyDescent="0.2">
      <c r="A94" t="s">
        <v>5</v>
      </c>
      <c r="B94" t="s">
        <v>188</v>
      </c>
    </row>
    <row r="95" spans="1:2" x14ac:dyDescent="0.2">
      <c r="A95" t="s">
        <v>189</v>
      </c>
      <c r="B95" t="s">
        <v>190</v>
      </c>
    </row>
    <row r="96" spans="1:2" x14ac:dyDescent="0.2">
      <c r="A96" t="s">
        <v>2</v>
      </c>
      <c r="B96" t="s">
        <v>128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plasmids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Lera Ramírez</dc:creator>
  <cp:lastModifiedBy>Manuel Lera Ramírez</cp:lastModifiedBy>
  <dcterms:created xsi:type="dcterms:W3CDTF">2026-03-04T11:14:12Z</dcterms:created>
  <dcterms:modified xsi:type="dcterms:W3CDTF">2026-03-04T11:23:48Z</dcterms:modified>
</cp:coreProperties>
</file>